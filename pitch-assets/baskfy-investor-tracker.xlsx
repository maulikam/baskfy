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<sst xmlns="http://schemas.openxmlformats.org/spreadsheetml/2006/main" count="209" uniqueCount="141">
  <si>
    <t xml:space="preserve">Baskfy — early-stage investor tracker</t>
  </si>
  <si>
    <t xml:space="preserve">Compiled 26 Aug 2026. Cheque sizes are approximate public ranges — verify before anchoring an ask. Cream columns (I, K, L) are yours to fill in; Status (J) has a dropdown.</t>
  </si>
  <si>
    <t xml:space="preserve">Priority</t>
  </si>
  <si>
    <t xml:space="preserve">Investor</t>
  </si>
  <si>
    <t xml:space="preserve">Type</t>
  </si>
  <si>
    <t xml:space="preserve">Stage focus</t>
  </si>
  <si>
    <t xml:space="preserve">Typical cheque (approx)</t>
  </si>
  <si>
    <t xml:space="preserve">Why it fits Baskfy</t>
  </si>
  <si>
    <t xml:space="preserve">Route in</t>
  </si>
  <si>
    <t xml:space="preserve">Link</t>
  </si>
  <si>
    <t xml:space="preserve">Intro path (fill in)</t>
  </si>
  <si>
    <t xml:space="preserve">Status</t>
  </si>
  <si>
    <t xml:space="preserve">Next action (fill in)</t>
  </si>
  <si>
    <t xml:space="preserve">Notes (fill in)</t>
  </si>
  <si>
    <t xml:space="preserve">P1</t>
  </si>
  <si>
    <t xml:space="preserve">Rainmatter (Zerodha)</t>
  </si>
  <si>
    <t xml:space="preserve">Patient capital fund</t>
  </si>
  <si>
    <t xml:space="preserve">Pre-seed → Series A</t>
  </si>
  <si>
    <t xml:space="preserve">₹1–10 Cr, flexible</t>
  </si>
  <si>
    <t xml:space="preserve">Exists for Indian capital-markets fintech; Baskfy is built on Kite Connect and the founder's desk runs real money on Zerodha — strongest possible opening. Expect a smallcase conflict check (early Rainmatter portfolio).</t>
  </si>
  <si>
    <t xml:space="preserve">Direct application form</t>
  </si>
  <si>
    <t xml:space="preserve">rainmatter.com</t>
  </si>
  <si>
    <t xml:space="preserve">Not started</t>
  </si>
  <si>
    <t xml:space="preserve">Send application (draft email ready)</t>
  </si>
  <si>
    <t xml:space="preserve">Patient capital; founder-friendly terms historically</t>
  </si>
  <si>
    <t xml:space="preserve">Kunal Shah</t>
  </si>
  <si>
    <t xml:space="preserve">Angel</t>
  </si>
  <si>
    <t xml:space="preserve">Pre-seed</t>
  </si>
  <si>
    <t xml:space="preserve">₹20L–1 Cr</t>
  </si>
  <si>
    <t xml:space="preserve">Most active fintech operator-angel in India; understands regulated products and distribution</t>
  </si>
  <si>
    <t xml:space="preserve">Warm intro &gt; LinkedIn/X cold</t>
  </si>
  <si>
    <t xml:space="preserve">startupintros.com/people/kunal-shah-1</t>
  </si>
  <si>
    <t xml:space="preserve">100X.VC (Sanjay Mehta)</t>
  </si>
  <si>
    <t xml:space="preserve">Micro-VC</t>
  </si>
  <si>
    <t xml:space="preserve">~₹1.25 Cr (iSAFE)</t>
  </si>
  <si>
    <t xml:space="preserve">Open application, fast standard terms; fintech-friendly; good for setting the round in motion</t>
  </si>
  <si>
    <t xml:space="preserve">Direct application, cohort-based</t>
  </si>
  <si>
    <t xml:space="preserve">100x.vc</t>
  </si>
  <si>
    <t xml:space="preserve">Check current cohort window</t>
  </si>
  <si>
    <t xml:space="preserve">Antler India</t>
  </si>
  <si>
    <t xml:space="preserve">Residency + VC</t>
  </si>
  <si>
    <t xml:space="preserve">~$200–500K</t>
  </si>
  <si>
    <t xml:space="preserve">Built for solo founders; residency also derisks the 'solo founder' objection institutional funds raise</t>
  </si>
  <si>
    <t xml:space="preserve">Direct application</t>
  </si>
  <si>
    <t xml:space="preserve">antler.co/location/india</t>
  </si>
  <si>
    <t xml:space="preserve">Titan Capital (Snapdeal founders)</t>
  </si>
  <si>
    <t xml:space="preserve">Pre-seed / seed</t>
  </si>
  <si>
    <t xml:space="preserve">$100–300K</t>
  </si>
  <si>
    <t xml:space="preserve">Backs opinionated, product-led founders early; fintech track record</t>
  </si>
  <si>
    <t xml:space="preserve">Direct / warm intro</t>
  </si>
  <si>
    <t xml:space="preserve">titancapital.vc</t>
  </si>
  <si>
    <t xml:space="preserve">Better Capital</t>
  </si>
  <si>
    <t xml:space="preserve">Angel fund</t>
  </si>
  <si>
    <t xml:space="preserve">$25–150K</t>
  </si>
  <si>
    <t xml:space="preserve">Very fintech-heavy portfolio (Open, Jupiter, Slice); moves fast on conviction</t>
  </si>
  <si>
    <t xml:space="preserve">bettercapital.vc</t>
  </si>
  <si>
    <t xml:space="preserve">P2</t>
  </si>
  <si>
    <t xml:space="preserve">First Cheque</t>
  </si>
  <si>
    <t xml:space="preserve">$50–150K</t>
  </si>
  <si>
    <t xml:space="preserve">Explicitly first-cheque thesis; comfortable pre-revenue</t>
  </si>
  <si>
    <t xml:space="preserve">Direct</t>
  </si>
  <si>
    <t xml:space="preserve">firstcheque.vc</t>
  </si>
  <si>
    <t xml:space="preserve">LetsVenture / AngelList India</t>
  </si>
  <si>
    <t xml:space="preserve">Syndicate platforms</t>
  </si>
  <si>
    <t xml:space="preserve">Angel round</t>
  </si>
  <si>
    <t xml:space="preserve">₹25L–3 Cr pooled</t>
  </si>
  <si>
    <t xml:space="preserve">Lets the angel round run as one rolling syndicate instead of 15 separate cheques</t>
  </si>
  <si>
    <t xml:space="preserve">Founder profile; lead angel required</t>
  </si>
  <si>
    <t xml:space="preserve">letsventure.com / angellist.com</t>
  </si>
  <si>
    <t xml:space="preserve">Mumbai Angels / Indian Angel Network</t>
  </si>
  <si>
    <t xml:space="preserve">Angel networks</t>
  </si>
  <si>
    <t xml:space="preserve">₹50L–2 Cr</t>
  </si>
  <si>
    <t xml:space="preserve">Structured angel pools; slower but broad HNI reach</t>
  </si>
  <si>
    <t xml:space="preserve">Application + pitch day</t>
  </si>
  <si>
    <t xml:space="preserve">mumbaiangels.com / indianangelnetwork.com</t>
  </si>
  <si>
    <t xml:space="preserve">Y Combinator</t>
  </si>
  <si>
    <t xml:space="preserve">Accelerator</t>
  </si>
  <si>
    <t xml:space="preserve">$500K standard deal</t>
  </si>
  <si>
    <t xml:space="preserve">Global signal; solo technical founders routinely accepted; forces launch discipline</t>
  </si>
  <si>
    <t xml:space="preserve">Direct application (batch deadlines)</t>
  </si>
  <si>
    <t xml:space="preserve">ycombinator.com/apply</t>
  </si>
  <si>
    <t xml:space="preserve">Check next batch deadline</t>
  </si>
  <si>
    <t xml:space="preserve">Peak XV — Surge</t>
  </si>
  <si>
    <t xml:space="preserve">Seed</t>
  </si>
  <si>
    <t xml:space="preserve">$1–3M</t>
  </si>
  <si>
    <t xml:space="preserve">Peak XV (as Sequoia India) led smallcase's early rounds — the firm already believes in the category</t>
  </si>
  <si>
    <t xml:space="preserve">Application / warm intro</t>
  </si>
  <si>
    <t xml:space="preserve">surgeahead.com</t>
  </si>
  <si>
    <t xml:space="preserve">Best after multi-user beta is live</t>
  </si>
  <si>
    <t xml:space="preserve">Accel Atoms</t>
  </si>
  <si>
    <t xml:space="preserve">$500K–1M</t>
  </si>
  <si>
    <t xml:space="preserve">Accel backed Dezerv; Atoms is their early-stage program</t>
  </si>
  <si>
    <t xml:space="preserve">Application</t>
  </si>
  <si>
    <t xml:space="preserve">atoms.accel.com</t>
  </si>
  <si>
    <t xml:space="preserve">Prime Venture Partners</t>
  </si>
  <si>
    <t xml:space="preserve">Seed fund</t>
  </si>
  <si>
    <t xml:space="preserve">$1–4M</t>
  </si>
  <si>
    <t xml:space="preserve">The most fintech-concentrated seed fund in India; deep regulatory literacy</t>
  </si>
  <si>
    <t xml:space="preserve">Warm intro strongly preferred</t>
  </si>
  <si>
    <t xml:space="preserve">primevp.in</t>
  </si>
  <si>
    <t xml:space="preserve">Blume Ventures</t>
  </si>
  <si>
    <t xml:space="preserve">$500K–2M</t>
  </si>
  <si>
    <t xml:space="preserve">Long wealthtech/fintech track record; founder-friendly at pre-revenue</t>
  </si>
  <si>
    <t xml:space="preserve">Warm intro / direct</t>
  </si>
  <si>
    <t xml:space="preserve">blume.vc</t>
  </si>
  <si>
    <t xml:space="preserve">3one4 Capital</t>
  </si>
  <si>
    <t xml:space="preserve">Fintech + SaaS thesis; Bengaluru network</t>
  </si>
  <si>
    <t xml:space="preserve">Warm intro</t>
  </si>
  <si>
    <t xml:space="preserve">3one4capital.com</t>
  </si>
  <si>
    <t xml:space="preserve">Kae Capital</t>
  </si>
  <si>
    <t xml:space="preserve">$500K–1.5M</t>
  </si>
  <si>
    <t xml:space="preserve">Early conviction bets, fintech history</t>
  </si>
  <si>
    <t xml:space="preserve">kae-capital.com</t>
  </si>
  <si>
    <t xml:space="preserve">India Quotient</t>
  </si>
  <si>
    <t xml:space="preserve">$250K–1.5M</t>
  </si>
  <si>
    <t xml:space="preserve">Contrarian consumer/fintech bets; comfortable with unpolished stages</t>
  </si>
  <si>
    <t xml:space="preserve">indiaquotient.com</t>
  </si>
  <si>
    <t xml:space="preserve">P3</t>
  </si>
  <si>
    <t xml:space="preserve">Z47 (fka Matrix Partners India)</t>
  </si>
  <si>
    <t xml:space="preserve">VC</t>
  </si>
  <si>
    <t xml:space="preserve">Seed / Series A</t>
  </si>
  <si>
    <t xml:space="preserve">$1–5M</t>
  </si>
  <si>
    <t xml:space="preserve">Dezerv backer — proven wealthtech appetite; better once traction exists</t>
  </si>
  <si>
    <t xml:space="preserve">z47.com</t>
  </si>
  <si>
    <t xml:space="preserve">Park until beta metrics</t>
  </si>
  <si>
    <t xml:space="preserve">Elevation Capital</t>
  </si>
  <si>
    <t xml:space="preserve">Dezerv backer; strong fintech bench</t>
  </si>
  <si>
    <t xml:space="preserve">elevationcapital.com</t>
  </si>
  <si>
    <t xml:space="preserve">Premji Invest</t>
  </si>
  <si>
    <t xml:space="preserve">Growth</t>
  </si>
  <si>
    <t xml:space="preserve">Series B+</t>
  </si>
  <si>
    <t xml:space="preserve">$10M+</t>
  </si>
  <si>
    <t xml:space="preserve">smallcase backer; wrong stage today — long-term relationship only</t>
  </si>
  <si>
    <t xml:space="preserve">premjiinvest.com</t>
  </si>
  <si>
    <t xml:space="preserve">Relationship-building only</t>
  </si>
  <si>
    <t xml:space="preserve">Pipeline summary</t>
  </si>
  <si>
    <t xml:space="preserve">Contacted</t>
  </si>
  <si>
    <t xml:space="preserve">In conversation</t>
  </si>
  <si>
    <t xml:space="preserve">Diligence</t>
  </si>
  <si>
    <t xml:space="preserve">Committed</t>
  </si>
  <si>
    <t xml:space="preserve">Passed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</si>
</sst>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FC4"/>
        <bgColor rgb="FF3366FF"/>
      </patternFill>
    </fill>
    <fill>
      <patternFill patternType="solid">
        <fgColor rgb="FFDCE9F9"/>
        <bgColor rgb="FFCCFFFF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7CC"/>
      <rgbColor rgb="FFDCE9F9"/>
      <rgbColor rgb="FF660066"/>
      <rgbColor rgb="FFFF8080"/>
      <rgbColor rgb="FF1A5FC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6"/>
      <c r="J5" s="5" t="s">
        <v>22</v>
      </c>
      <c r="K5" s="6" t="s">
        <v>23</v>
      </c>
      <c r="L5" s="6" t="s">
        <v>24</v>
      </c>
    </row>
    <row r="6" customFormat="false" ht="23.85" hidden="false" customHeight="false" outlineLevel="0" collapsed="false">
      <c r="A6" s="4" t="s">
        <v>14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6"/>
      <c r="J6" s="5" t="s">
        <v>22</v>
      </c>
      <c r="K6" s="6"/>
      <c r="L6" s="6"/>
    </row>
    <row r="7" customFormat="false" ht="23.85" hidden="false" customHeight="false" outlineLevel="0" collapsed="false">
      <c r="A7" s="4" t="s">
        <v>14</v>
      </c>
      <c r="B7" s="5" t="s">
        <v>32</v>
      </c>
      <c r="C7" s="5" t="s">
        <v>33</v>
      </c>
      <c r="D7" s="5" t="s">
        <v>27</v>
      </c>
      <c r="E7" s="5" t="s">
        <v>34</v>
      </c>
      <c r="F7" s="5" t="s">
        <v>35</v>
      </c>
      <c r="G7" s="5" t="s">
        <v>36</v>
      </c>
      <c r="H7" s="5" t="s">
        <v>37</v>
      </c>
      <c r="I7" s="6"/>
      <c r="J7" s="5" t="s">
        <v>22</v>
      </c>
      <c r="K7" s="6" t="s">
        <v>38</v>
      </c>
      <c r="L7" s="6"/>
    </row>
    <row r="8" customFormat="false" ht="23.85" hidden="false" customHeight="false" outlineLevel="0" collapsed="false">
      <c r="A8" s="4" t="s">
        <v>14</v>
      </c>
      <c r="B8" s="5" t="s">
        <v>39</v>
      </c>
      <c r="C8" s="5" t="s">
        <v>40</v>
      </c>
      <c r="D8" s="5" t="s">
        <v>27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5" t="s">
        <v>22</v>
      </c>
      <c r="K8" s="6"/>
      <c r="L8" s="6"/>
    </row>
    <row r="9" customFormat="false" ht="23.85" hidden="false" customHeight="false" outlineLevel="0" collapsed="false">
      <c r="A9" s="4" t="s">
        <v>14</v>
      </c>
      <c r="B9" s="5" t="s">
        <v>45</v>
      </c>
      <c r="C9" s="5" t="s">
        <v>33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5" t="s">
        <v>22</v>
      </c>
      <c r="K9" s="6"/>
      <c r="L9" s="6"/>
    </row>
    <row r="10" customFormat="false" ht="23.85" hidden="false" customHeight="false" outlineLevel="0" collapsed="false">
      <c r="A10" s="4" t="s">
        <v>14</v>
      </c>
      <c r="B10" s="5" t="s">
        <v>51</v>
      </c>
      <c r="C10" s="5" t="s">
        <v>52</v>
      </c>
      <c r="D10" s="5" t="s">
        <v>27</v>
      </c>
      <c r="E10" s="5" t="s">
        <v>53</v>
      </c>
      <c r="F10" s="5" t="s">
        <v>54</v>
      </c>
      <c r="G10" s="5" t="s">
        <v>49</v>
      </c>
      <c r="H10" s="5" t="s">
        <v>55</v>
      </c>
      <c r="I10" s="6"/>
      <c r="J10" s="5" t="s">
        <v>22</v>
      </c>
      <c r="K10" s="6"/>
      <c r="L10" s="6"/>
    </row>
    <row r="11" customFormat="false" ht="15" hidden="false" customHeight="false" outlineLevel="0" collapsed="false">
      <c r="A11" s="5" t="s">
        <v>56</v>
      </c>
      <c r="B11" s="5" t="s">
        <v>57</v>
      </c>
      <c r="C11" s="5" t="s">
        <v>33</v>
      </c>
      <c r="D11" s="5" t="s">
        <v>27</v>
      </c>
      <c r="E11" s="5" t="s">
        <v>58</v>
      </c>
      <c r="F11" s="5" t="s">
        <v>59</v>
      </c>
      <c r="G11" s="5" t="s">
        <v>60</v>
      </c>
      <c r="H11" s="5" t="s">
        <v>61</v>
      </c>
      <c r="I11" s="6"/>
      <c r="J11" s="5" t="s">
        <v>22</v>
      </c>
      <c r="K11" s="6"/>
      <c r="L11" s="6"/>
    </row>
    <row r="12" customFormat="false" ht="23.85" hidden="false" customHeight="false" outlineLevel="0" collapsed="false">
      <c r="A12" s="5" t="s">
        <v>56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I12" s="6"/>
      <c r="J12" s="5" t="s">
        <v>22</v>
      </c>
      <c r="K12" s="6"/>
      <c r="L12" s="6"/>
    </row>
    <row r="13" customFormat="false" ht="23.85" hidden="false" customHeight="false" outlineLevel="0" collapsed="false">
      <c r="A13" s="5" t="s">
        <v>56</v>
      </c>
      <c r="B13" s="5" t="s">
        <v>69</v>
      </c>
      <c r="C13" s="5" t="s">
        <v>70</v>
      </c>
      <c r="D13" s="5" t="s">
        <v>64</v>
      </c>
      <c r="E13" s="5" t="s">
        <v>71</v>
      </c>
      <c r="F13" s="5" t="s">
        <v>72</v>
      </c>
      <c r="G13" s="5" t="s">
        <v>73</v>
      </c>
      <c r="H13" s="5" t="s">
        <v>74</v>
      </c>
      <c r="I13" s="6"/>
      <c r="J13" s="5" t="s">
        <v>22</v>
      </c>
      <c r="K13" s="6"/>
      <c r="L13" s="6"/>
    </row>
    <row r="14" customFormat="false" ht="23.85" hidden="false" customHeight="false" outlineLevel="0" collapsed="false">
      <c r="A14" s="5" t="s">
        <v>56</v>
      </c>
      <c r="B14" s="5" t="s">
        <v>75</v>
      </c>
      <c r="C14" s="5" t="s">
        <v>76</v>
      </c>
      <c r="D14" s="5" t="s">
        <v>27</v>
      </c>
      <c r="E14" s="5" t="s">
        <v>77</v>
      </c>
      <c r="F14" s="5" t="s">
        <v>78</v>
      </c>
      <c r="G14" s="5" t="s">
        <v>79</v>
      </c>
      <c r="H14" s="5" t="s">
        <v>80</v>
      </c>
      <c r="I14" s="6"/>
      <c r="J14" s="5" t="s">
        <v>22</v>
      </c>
      <c r="K14" s="6" t="s">
        <v>81</v>
      </c>
      <c r="L14" s="6"/>
    </row>
    <row r="15" customFormat="false" ht="23.85" hidden="false" customHeight="false" outlineLevel="0" collapsed="false">
      <c r="A15" s="5" t="s">
        <v>56</v>
      </c>
      <c r="B15" s="5" t="s">
        <v>82</v>
      </c>
      <c r="C15" s="5" t="s">
        <v>76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6"/>
      <c r="J15" s="5" t="s">
        <v>22</v>
      </c>
      <c r="K15" s="6"/>
      <c r="L15" s="6" t="s">
        <v>88</v>
      </c>
    </row>
    <row r="16" customFormat="false" ht="15" hidden="false" customHeight="false" outlineLevel="0" collapsed="false">
      <c r="A16" s="5" t="s">
        <v>56</v>
      </c>
      <c r="B16" s="5" t="s">
        <v>89</v>
      </c>
      <c r="C16" s="5" t="s">
        <v>76</v>
      </c>
      <c r="D16" s="5" t="s">
        <v>46</v>
      </c>
      <c r="E16" s="5" t="s">
        <v>90</v>
      </c>
      <c r="F16" s="5" t="s">
        <v>91</v>
      </c>
      <c r="G16" s="5" t="s">
        <v>92</v>
      </c>
      <c r="H16" s="5" t="s">
        <v>93</v>
      </c>
      <c r="I16" s="6"/>
      <c r="J16" s="5" t="s">
        <v>22</v>
      </c>
      <c r="K16" s="6"/>
      <c r="L16" s="6"/>
    </row>
    <row r="17" customFormat="false" ht="23.85" hidden="false" customHeight="false" outlineLevel="0" collapsed="false">
      <c r="A17" s="5" t="s">
        <v>56</v>
      </c>
      <c r="B17" s="5" t="s">
        <v>94</v>
      </c>
      <c r="C17" s="5" t="s">
        <v>95</v>
      </c>
      <c r="D17" s="5" t="s">
        <v>83</v>
      </c>
      <c r="E17" s="5" t="s">
        <v>96</v>
      </c>
      <c r="F17" s="5" t="s">
        <v>97</v>
      </c>
      <c r="G17" s="5" t="s">
        <v>98</v>
      </c>
      <c r="H17" s="5" t="s">
        <v>99</v>
      </c>
      <c r="I17" s="6"/>
      <c r="J17" s="5" t="s">
        <v>22</v>
      </c>
      <c r="K17" s="6"/>
      <c r="L17" s="6"/>
    </row>
    <row r="18" customFormat="false" ht="23.85" hidden="false" customHeight="false" outlineLevel="0" collapsed="false">
      <c r="A18" s="5" t="s">
        <v>56</v>
      </c>
      <c r="B18" s="5" t="s">
        <v>100</v>
      </c>
      <c r="C18" s="5" t="s">
        <v>95</v>
      </c>
      <c r="D18" s="5" t="s">
        <v>46</v>
      </c>
      <c r="E18" s="5" t="s">
        <v>101</v>
      </c>
      <c r="F18" s="5" t="s">
        <v>102</v>
      </c>
      <c r="G18" s="5" t="s">
        <v>103</v>
      </c>
      <c r="H18" s="5" t="s">
        <v>104</v>
      </c>
      <c r="I18" s="6"/>
      <c r="J18" s="5" t="s">
        <v>22</v>
      </c>
      <c r="K18" s="6"/>
      <c r="L18" s="6"/>
    </row>
    <row r="19" customFormat="false" ht="15" hidden="false" customHeight="false" outlineLevel="0" collapsed="false">
      <c r="A19" s="5" t="s">
        <v>56</v>
      </c>
      <c r="B19" s="5" t="s">
        <v>105</v>
      </c>
      <c r="C19" s="5" t="s">
        <v>95</v>
      </c>
      <c r="D19" s="5" t="s">
        <v>83</v>
      </c>
      <c r="E19" s="5" t="s">
        <v>101</v>
      </c>
      <c r="F19" s="5" t="s">
        <v>106</v>
      </c>
      <c r="G19" s="5" t="s">
        <v>107</v>
      </c>
      <c r="H19" s="5" t="s">
        <v>108</v>
      </c>
      <c r="I19" s="6"/>
      <c r="J19" s="5" t="s">
        <v>22</v>
      </c>
      <c r="K19" s="6"/>
      <c r="L19" s="6"/>
    </row>
    <row r="20" customFormat="false" ht="15" hidden="false" customHeight="false" outlineLevel="0" collapsed="false">
      <c r="A20" s="5" t="s">
        <v>56</v>
      </c>
      <c r="B20" s="5" t="s">
        <v>109</v>
      </c>
      <c r="C20" s="5" t="s">
        <v>95</v>
      </c>
      <c r="D20" s="5" t="s">
        <v>46</v>
      </c>
      <c r="E20" s="5" t="s">
        <v>110</v>
      </c>
      <c r="F20" s="5" t="s">
        <v>111</v>
      </c>
      <c r="G20" s="5" t="s">
        <v>103</v>
      </c>
      <c r="H20" s="5" t="s">
        <v>112</v>
      </c>
      <c r="I20" s="6"/>
      <c r="J20" s="5" t="s">
        <v>22</v>
      </c>
      <c r="K20" s="6"/>
      <c r="L20" s="6"/>
    </row>
    <row r="21" customFormat="false" ht="23.85" hidden="false" customHeight="false" outlineLevel="0" collapsed="false">
      <c r="A21" s="5" t="s">
        <v>56</v>
      </c>
      <c r="B21" s="5" t="s">
        <v>113</v>
      </c>
      <c r="C21" s="5" t="s">
        <v>95</v>
      </c>
      <c r="D21" s="5" t="s">
        <v>46</v>
      </c>
      <c r="E21" s="5" t="s">
        <v>114</v>
      </c>
      <c r="F21" s="5" t="s">
        <v>115</v>
      </c>
      <c r="G21" s="5" t="s">
        <v>49</v>
      </c>
      <c r="H21" s="5" t="s">
        <v>116</v>
      </c>
      <c r="I21" s="6"/>
      <c r="J21" s="5" t="s">
        <v>22</v>
      </c>
      <c r="K21" s="6"/>
      <c r="L21" s="6"/>
    </row>
    <row r="22" customFormat="false" ht="23.85" hidden="false" customHeight="false" outlineLevel="0" collapsed="false">
      <c r="A22" s="5" t="s">
        <v>117</v>
      </c>
      <c r="B22" s="5" t="s">
        <v>118</v>
      </c>
      <c r="C22" s="5" t="s">
        <v>119</v>
      </c>
      <c r="D22" s="5" t="s">
        <v>120</v>
      </c>
      <c r="E22" s="5" t="s">
        <v>121</v>
      </c>
      <c r="F22" s="5" t="s">
        <v>122</v>
      </c>
      <c r="G22" s="5" t="s">
        <v>107</v>
      </c>
      <c r="H22" s="5" t="s">
        <v>123</v>
      </c>
      <c r="I22" s="6"/>
      <c r="J22" s="5" t="s">
        <v>22</v>
      </c>
      <c r="K22" s="6"/>
      <c r="L22" s="6" t="s">
        <v>124</v>
      </c>
    </row>
    <row r="23" customFormat="false" ht="15" hidden="false" customHeight="false" outlineLevel="0" collapsed="false">
      <c r="A23" s="5" t="s">
        <v>117</v>
      </c>
      <c r="B23" s="5" t="s">
        <v>125</v>
      </c>
      <c r="C23" s="5" t="s">
        <v>119</v>
      </c>
      <c r="D23" s="5" t="s">
        <v>120</v>
      </c>
      <c r="E23" s="5" t="s">
        <v>121</v>
      </c>
      <c r="F23" s="5" t="s">
        <v>126</v>
      </c>
      <c r="G23" s="5" t="s">
        <v>107</v>
      </c>
      <c r="H23" s="5" t="s">
        <v>127</v>
      </c>
      <c r="I23" s="6"/>
      <c r="J23" s="5" t="s">
        <v>22</v>
      </c>
      <c r="K23" s="6"/>
      <c r="L23" s="6" t="s">
        <v>124</v>
      </c>
    </row>
    <row r="24" customFormat="false" ht="23.85" hidden="false" customHeight="false" outlineLevel="0" collapsed="false">
      <c r="A24" s="5" t="s">
        <v>117</v>
      </c>
      <c r="B24" s="5" t="s">
        <v>128</v>
      </c>
      <c r="C24" s="5" t="s">
        <v>129</v>
      </c>
      <c r="D24" s="5" t="s">
        <v>130</v>
      </c>
      <c r="E24" s="5" t="s">
        <v>131</v>
      </c>
      <c r="F24" s="5" t="s">
        <v>132</v>
      </c>
      <c r="G24" s="5" t="s">
        <v>107</v>
      </c>
      <c r="H24" s="5" t="s">
        <v>133</v>
      </c>
      <c r="I24" s="6"/>
      <c r="J24" s="5" t="s">
        <v>22</v>
      </c>
      <c r="K24" s="6"/>
      <c r="L24" s="6" t="s">
        <v>134</v>
      </c>
    </row>
    <row r="26" customFormat="false" ht="15" hidden="false" customHeight="false" outlineLevel="0" collapsed="false">
      <c r="A26" s="7" t="s">
        <v>135</v>
      </c>
    </row>
    <row r="27" customFormat="false" ht="15" hidden="false" customHeight="false" outlineLevel="0" collapsed="false">
      <c r="A27" s="8" t="s">
        <v>22</v>
      </c>
      <c r="B27" s="9" t="n">
        <f aca="false">COUNTIF($J$5:$J$24,A27)</f>
        <v>20</v>
      </c>
    </row>
    <row r="28" customFormat="false" ht="15" hidden="false" customHeight="false" outlineLevel="0" collapsed="false">
      <c r="A28" s="8" t="s">
        <v>136</v>
      </c>
      <c r="B28" s="9" t="n">
        <f aca="false">COUNTIF($J$5:$J$24,A28)</f>
        <v>0</v>
      </c>
    </row>
    <row r="29" customFormat="false" ht="15" hidden="false" customHeight="false" outlineLevel="0" collapsed="false">
      <c r="A29" s="8" t="s">
        <v>137</v>
      </c>
      <c r="B29" s="9" t="n">
        <f aca="false">COUNTIF($J$5:$J$24,A29)</f>
        <v>0</v>
      </c>
    </row>
    <row r="30" customFormat="false" ht="15" hidden="false" customHeight="false" outlineLevel="0" collapsed="false">
      <c r="A30" s="8" t="s">
        <v>138</v>
      </c>
      <c r="B30" s="9" t="n">
        <f aca="false">COUNTIF($J$5:$J$24,A30)</f>
        <v>0</v>
      </c>
    </row>
    <row r="31" customFormat="false" ht="15" hidden="false" customHeight="false" outlineLevel="0" collapsed="false">
      <c r="A31" s="8" t="s">
        <v>139</v>
      </c>
      <c r="B31" s="9" t="n">
        <f aca="false">COUNTIF($J$5:$J$24,A31)</f>
        <v>0</v>
      </c>
    </row>
    <row r="32" customFormat="false" ht="15" hidden="false" customHeight="false" outlineLevel="0" collapsed="false">
      <c r="A32" s="8" t="s">
        <v>140</v>
      </c>
      <c r="B32" s="9" t="n">
        <f aca="false">COUNTIF($J$5:$J$24,A32)</f>
        <v>0</v>
      </c>
    </row>
  </sheetData>
  <dataValidations count="1">
    <dataValidation allowBlank="true" errorStyle="stop" operator="between" showDropDown="false" showErrorMessage="false" showInputMessage="false" sqref="J5:J24" type="list">
      <formula1>"Not started,Researching,Intro requested,Contacted,In conversation,Diligence,Passed,Committed"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2026-08-26T15:17:04Z</dcterms:created>
  <dc:creator>openpyxl</dc:creator>
  <dc:description/>
  <dc:language>en-US</dc:language>
  <cp:lastModifiedBy/>
  <dcterms:modified xsi:type="dcterms:W3CDTF">2026-08-26T15:17:04Z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